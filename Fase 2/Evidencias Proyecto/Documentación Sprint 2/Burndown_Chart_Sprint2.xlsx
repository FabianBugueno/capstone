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bia\Desktop\Capstone\Evidencias y documentacion\capstone\Fase 2\Evidencias Proyecto\Documentación Sprint 2\"/>
    </mc:Choice>
  </mc:AlternateContent>
  <xr:revisionPtr revIDLastSave="0" documentId="13_ncr:1_{2E43F30F-7749-4E1E-9943-C8E46EFA79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ndown Chart" sheetId="1" r:id="rId1"/>
    <sheet name="Datos_grafico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T5DJ7MX88wQlvgVaj/S5NI1GQrjxWhBRerZ1gk8Kgc="/>
    </ext>
  </extLst>
</workbook>
</file>

<file path=xl/calcChain.xml><?xml version="1.0" encoding="utf-8"?>
<calcChain xmlns="http://schemas.openxmlformats.org/spreadsheetml/2006/main">
  <c r="C22" i="2" l="1"/>
  <c r="A22" i="2"/>
  <c r="C21" i="2"/>
  <c r="A21" i="2"/>
  <c r="C20" i="2"/>
  <c r="B20" i="2"/>
  <c r="A20" i="2"/>
  <c r="C19" i="2"/>
  <c r="B19" i="2"/>
  <c r="A19" i="2"/>
  <c r="C18" i="2"/>
  <c r="A18" i="2"/>
  <c r="C17" i="2"/>
  <c r="A17" i="2"/>
  <c r="C16" i="2"/>
  <c r="A16" i="2"/>
  <c r="C15" i="2"/>
  <c r="A15" i="2"/>
  <c r="C14" i="2"/>
  <c r="A14" i="2"/>
  <c r="C13" i="2"/>
  <c r="A13" i="2"/>
  <c r="C12" i="2"/>
  <c r="A12" i="2"/>
  <c r="C11" i="2"/>
  <c r="A11" i="2"/>
  <c r="C10" i="2"/>
  <c r="A10" i="2"/>
  <c r="C9" i="2"/>
  <c r="A9" i="2"/>
  <c r="C8" i="2"/>
  <c r="B8" i="2"/>
  <c r="A8" i="2"/>
  <c r="C7" i="2"/>
  <c r="A7" i="2"/>
  <c r="C6" i="2"/>
  <c r="A6" i="2"/>
  <c r="C5" i="2"/>
  <c r="A5" i="2"/>
  <c r="C4" i="2"/>
  <c r="A4" i="2"/>
  <c r="C3" i="2"/>
  <c r="A3" i="2"/>
  <c r="C2" i="2"/>
  <c r="A2" i="2"/>
  <c r="B25" i="1"/>
  <c r="B22" i="2" s="1"/>
  <c r="B24" i="1"/>
  <c r="B21" i="2" s="1"/>
  <c r="B23" i="1"/>
  <c r="B22" i="1"/>
  <c r="B21" i="1"/>
  <c r="B18" i="2" s="1"/>
  <c r="B20" i="1"/>
  <c r="B17" i="2" s="1"/>
  <c r="B19" i="1"/>
  <c r="B16" i="2" s="1"/>
  <c r="B18" i="1"/>
  <c r="B15" i="2" s="1"/>
  <c r="B17" i="1"/>
  <c r="B14" i="2" s="1"/>
  <c r="B16" i="1"/>
  <c r="B13" i="2" s="1"/>
  <c r="B15" i="1"/>
  <c r="B12" i="2" s="1"/>
  <c r="B14" i="1"/>
  <c r="B11" i="2" s="1"/>
  <c r="B13" i="1"/>
  <c r="B10" i="2" s="1"/>
  <c r="B12" i="1"/>
  <c r="B9" i="2" s="1"/>
  <c r="B11" i="1"/>
  <c r="B10" i="1"/>
  <c r="B7" i="2" s="1"/>
  <c r="B9" i="1"/>
  <c r="B6" i="2" s="1"/>
  <c r="B8" i="1"/>
  <c r="B5" i="2" s="1"/>
  <c r="B7" i="1"/>
  <c r="B4" i="2" s="1"/>
  <c r="B6" i="1"/>
  <c r="B3" i="2" s="1"/>
  <c r="B5" i="1"/>
  <c r="B2" i="2" s="1"/>
</calcChain>
</file>

<file path=xl/sharedStrings.xml><?xml version="1.0" encoding="utf-8"?>
<sst xmlns="http://schemas.openxmlformats.org/spreadsheetml/2006/main" count="12" uniqueCount="11">
  <si>
    <t>Día</t>
  </si>
  <si>
    <t>Horas Completadas (Ideal)</t>
  </si>
  <si>
    <t>Horas Completadas (Real)</t>
  </si>
  <si>
    <t>Hoja auxiliar del gráfico: horas completadas = horas totales - horas restantes (se calcula desde la hoja principal).</t>
  </si>
  <si>
    <t>Horas totales estimadas (input):</t>
  </si>
  <si>
    <t>Duración del sprint en días hábiles (input):</t>
  </si>
  <si>
    <t>Horas Restantes (Ideal)</t>
  </si>
  <si>
    <t>Horas Restantes (Real)</t>
  </si>
  <si>
    <t>Horas Consumidas (Real, diario)</t>
  </si>
  <si>
    <t>Burndown Chart - Sprint 2 (Power Guardian Pro MVP)</t>
  </si>
  <si>
    <t>Equipo: Cristóbal Mena, Francisco Neira, Fabián Bugueño | Duración: 4 semanas (Semanas 8-11, 28/09/2026 al 23/10/2026)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</si>
</sst>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theme="1"/>
      <name val="Arial"/>
    </font>
    <font>
      <i/>
      <sz val="9"/>
      <color theme="1"/>
      <name val="Arial"/>
    </font>
    <font>
      <sz val="9"/>
      <color rgb="FF0000FF"/>
      <name val="Arial"/>
    </font>
    <font>
      <i/>
      <sz val="10"/>
      <color theme="1"/>
      <name val="Arial"/>
    </font>
    <font>
      <i/>
      <sz val="8"/>
      <color rgb="FF80808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164" fontId="3" fillId="0" borderId="0" xfId="0" applyNumberFormat="1" applyFont="1"/>
    <xf numFmtId="0" fontId="5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9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/>
    <xf numFmtId="0" fontId="4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Burndown Chart - Sprint 2 (4 semanas)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Completadas (Ideal)</c:v>
          </c:tx>
          <c:spPr>
            <a:ln w="19050" cmpd="sng">
              <a:solidFill>
                <a:srgbClr val="7F7F7F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numRef>
              <c:f>Datos_grafico!$A$2:$A$22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Datos_grafico!$B$2:$B$22</c:f>
              <c:numCache>
                <c:formatCode>0.0</c:formatCode>
                <c:ptCount val="21"/>
                <c:pt idx="0">
                  <c:v>0</c:v>
                </c:pt>
                <c:pt idx="1">
                  <c:v>7.1500000000000057</c:v>
                </c:pt>
                <c:pt idx="2">
                  <c:v>14.300000000000011</c:v>
                </c:pt>
                <c:pt idx="3">
                  <c:v>21.450000000000003</c:v>
                </c:pt>
                <c:pt idx="4">
                  <c:v>28.599999999999994</c:v>
                </c:pt>
                <c:pt idx="5">
                  <c:v>35.75</c:v>
                </c:pt>
                <c:pt idx="6">
                  <c:v>42.900000000000006</c:v>
                </c:pt>
                <c:pt idx="7">
                  <c:v>50.050000000000011</c:v>
                </c:pt>
                <c:pt idx="8">
                  <c:v>57.2</c:v>
                </c:pt>
                <c:pt idx="9">
                  <c:v>64.350000000000009</c:v>
                </c:pt>
                <c:pt idx="10">
                  <c:v>71.5</c:v>
                </c:pt>
                <c:pt idx="11">
                  <c:v>78.650000000000006</c:v>
                </c:pt>
                <c:pt idx="12">
                  <c:v>85.800000000000011</c:v>
                </c:pt>
                <c:pt idx="13">
                  <c:v>92.95</c:v>
                </c:pt>
                <c:pt idx="14">
                  <c:v>100.10000000000001</c:v>
                </c:pt>
                <c:pt idx="15">
                  <c:v>107.25</c:v>
                </c:pt>
                <c:pt idx="16">
                  <c:v>114.4</c:v>
                </c:pt>
                <c:pt idx="17">
                  <c:v>121.55000000000001</c:v>
                </c:pt>
                <c:pt idx="18">
                  <c:v>128.70000000000002</c:v>
                </c:pt>
                <c:pt idx="19">
                  <c:v>135.85</c:v>
                </c:pt>
                <c:pt idx="20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D-4E33-8995-5EE07F73F782}"/>
            </c:ext>
          </c:extLst>
        </c:ser>
        <c:ser>
          <c:idx val="1"/>
          <c:order val="1"/>
          <c:tx>
            <c:v>Horas Completadas (Real)</c:v>
          </c:tx>
          <c:spPr>
            <a:ln w="19050" cmpd="sng">
              <a:solidFill>
                <a:srgbClr val="2E8B57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2E8B57">
                  <a:alpha val="100000"/>
                </a:srgbClr>
              </a:solidFill>
              <a:ln cmpd="sng">
                <a:solidFill>
                  <a:srgbClr val="2E8B57">
                    <a:alpha val="100000"/>
                  </a:srgbClr>
                </a:solidFill>
              </a:ln>
            </c:spPr>
          </c:marker>
          <c:cat>
            <c:numRef>
              <c:f>Datos_grafico!$A$2:$A$22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Datos_grafico!$C$2:$C$22</c:f>
              <c:numCache>
                <c:formatCode>0.0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9</c:v>
                </c:pt>
                <c:pt idx="3">
                  <c:v>15</c:v>
                </c:pt>
                <c:pt idx="4">
                  <c:v>22</c:v>
                </c:pt>
                <c:pt idx="5">
                  <c:v>30</c:v>
                </c:pt>
                <c:pt idx="6">
                  <c:v>33</c:v>
                </c:pt>
                <c:pt idx="7">
                  <c:v>35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67</c:v>
                </c:pt>
                <c:pt idx="12">
                  <c:v>70</c:v>
                </c:pt>
                <c:pt idx="13">
                  <c:v>80</c:v>
                </c:pt>
                <c:pt idx="14">
                  <c:v>90</c:v>
                </c:pt>
                <c:pt idx="15">
                  <c:v>99</c:v>
                </c:pt>
                <c:pt idx="16">
                  <c:v>108</c:v>
                </c:pt>
                <c:pt idx="17">
                  <c:v>117</c:v>
                </c:pt>
                <c:pt idx="18">
                  <c:v>126</c:v>
                </c:pt>
                <c:pt idx="19">
                  <c:v>135</c:v>
                </c:pt>
                <c:pt idx="20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AD-4E33-8995-5EE07F73F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949612"/>
        <c:axId val="1720760910"/>
      </c:lineChart>
      <c:catAx>
        <c:axId val="1726949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720760910"/>
        <c:crosses val="autoZero"/>
        <c:auto val="1"/>
        <c:lblAlgn val="ctr"/>
        <c:lblOffset val="100"/>
        <c:noMultiLvlLbl val="1"/>
      </c:catAx>
      <c:valAx>
        <c:axId val="1720760910"/>
        <c:scaling>
          <c:orientation val="minMax"/>
          <c:max val="16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Calibri"/>
                  </a:rPr>
                  <a:t>Horas completadas (acumuladas)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1726949612"/>
        <c:crosses val="autoZero"/>
        <c:crossBetween val="between"/>
        <c:majorUnit val="20"/>
      </c:valAx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7772400" cy="4133850"/>
    <xdr:graphicFrame macro="">
      <xdr:nvGraphicFramePr>
        <xdr:cNvPr id="286978539" name="Chart 1" title="Gráfico">
          <a:extLst>
            <a:ext uri="{FF2B5EF4-FFF2-40B4-BE49-F238E27FC236}">
              <a16:creationId xmlns:a16="http://schemas.microsoft.com/office/drawing/2014/main" id="{00000000-0008-0000-0000-0000EBF11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sqref="A1:D1"/>
    </sheetView>
  </sheetViews>
  <sheetFormatPr baseColWidth="10" defaultColWidth="14.44140625" defaultRowHeight="15" customHeight="1" x14ac:dyDescent="0.3"/>
  <cols>
    <col min="1" max="1" width="8" customWidth="1"/>
    <col min="2" max="3" width="20" customWidth="1"/>
    <col min="4" max="4" width="33.44140625" customWidth="1"/>
    <col min="5" max="5" width="32" customWidth="1"/>
    <col min="6" max="6" width="10" customWidth="1"/>
  </cols>
  <sheetData>
    <row r="1" spans="1:6" ht="14.25" customHeight="1" x14ac:dyDescent="0.3">
      <c r="A1" s="11" t="s">
        <v>9</v>
      </c>
      <c r="B1" s="12"/>
      <c r="C1" s="12"/>
      <c r="D1" s="12"/>
      <c r="E1" s="5" t="s">
        <v>4</v>
      </c>
      <c r="F1" s="6">
        <v>143</v>
      </c>
    </row>
    <row r="2" spans="1:6" ht="14.25" customHeight="1" x14ac:dyDescent="0.3">
      <c r="A2" s="13" t="s">
        <v>10</v>
      </c>
      <c r="B2" s="12"/>
      <c r="C2" s="12"/>
      <c r="D2" s="12"/>
      <c r="E2" s="5" t="s">
        <v>5</v>
      </c>
      <c r="F2" s="6">
        <v>20</v>
      </c>
    </row>
    <row r="3" spans="1:6" ht="14.25" customHeight="1" x14ac:dyDescent="0.3">
      <c r="E3" s="7"/>
    </row>
    <row r="4" spans="1:6" ht="30" customHeight="1" x14ac:dyDescent="0.3">
      <c r="A4" s="8" t="s">
        <v>0</v>
      </c>
      <c r="B4" s="8" t="s">
        <v>6</v>
      </c>
      <c r="C4" s="8" t="s">
        <v>7</v>
      </c>
      <c r="D4" s="8" t="s">
        <v>8</v>
      </c>
      <c r="E4" s="14"/>
      <c r="F4" s="12"/>
    </row>
    <row r="5" spans="1:6" ht="14.25" customHeight="1" x14ac:dyDescent="0.3">
      <c r="A5" s="9">
        <v>0</v>
      </c>
      <c r="B5" s="10">
        <f t="shared" ref="B5:B25" si="0">$F$1-($F$1/$F$2)*A5</f>
        <v>143</v>
      </c>
      <c r="C5" s="10">
        <v>143</v>
      </c>
      <c r="D5" s="10">
        <v>0</v>
      </c>
    </row>
    <row r="6" spans="1:6" ht="14.25" customHeight="1" x14ac:dyDescent="0.3">
      <c r="A6" s="9">
        <v>1</v>
      </c>
      <c r="B6" s="10">
        <f t="shared" si="0"/>
        <v>135.85</v>
      </c>
      <c r="C6" s="10">
        <v>139</v>
      </c>
      <c r="D6" s="10">
        <v>4</v>
      </c>
    </row>
    <row r="7" spans="1:6" ht="14.25" customHeight="1" x14ac:dyDescent="0.3">
      <c r="A7" s="9">
        <v>2</v>
      </c>
      <c r="B7" s="10">
        <f t="shared" si="0"/>
        <v>128.69999999999999</v>
      </c>
      <c r="C7" s="10">
        <v>134</v>
      </c>
      <c r="D7" s="10">
        <v>5</v>
      </c>
    </row>
    <row r="8" spans="1:6" ht="14.25" customHeight="1" x14ac:dyDescent="0.3">
      <c r="A8" s="9">
        <v>3</v>
      </c>
      <c r="B8" s="10">
        <f t="shared" si="0"/>
        <v>121.55</v>
      </c>
      <c r="C8" s="10">
        <v>128</v>
      </c>
      <c r="D8" s="10">
        <v>6</v>
      </c>
    </row>
    <row r="9" spans="1:6" ht="14.25" customHeight="1" x14ac:dyDescent="0.3">
      <c r="A9" s="9">
        <v>4</v>
      </c>
      <c r="B9" s="10">
        <f t="shared" si="0"/>
        <v>114.4</v>
      </c>
      <c r="C9" s="10">
        <v>121</v>
      </c>
      <c r="D9" s="10">
        <v>7</v>
      </c>
    </row>
    <row r="10" spans="1:6" ht="14.25" customHeight="1" x14ac:dyDescent="0.3">
      <c r="A10" s="9">
        <v>5</v>
      </c>
      <c r="B10" s="10">
        <f t="shared" si="0"/>
        <v>107.25</v>
      </c>
      <c r="C10" s="10">
        <v>113</v>
      </c>
      <c r="D10" s="10">
        <v>8</v>
      </c>
    </row>
    <row r="11" spans="1:6" ht="14.25" customHeight="1" x14ac:dyDescent="0.3">
      <c r="A11" s="9">
        <v>6</v>
      </c>
      <c r="B11" s="10">
        <f t="shared" si="0"/>
        <v>100.1</v>
      </c>
      <c r="C11" s="10">
        <v>110</v>
      </c>
      <c r="D11" s="10">
        <v>3</v>
      </c>
    </row>
    <row r="12" spans="1:6" ht="14.25" customHeight="1" x14ac:dyDescent="0.3">
      <c r="A12" s="9">
        <v>7</v>
      </c>
      <c r="B12" s="10">
        <f t="shared" si="0"/>
        <v>92.949999999999989</v>
      </c>
      <c r="C12" s="10">
        <v>108</v>
      </c>
      <c r="D12" s="10">
        <v>2</v>
      </c>
    </row>
    <row r="13" spans="1:6" ht="14.25" customHeight="1" x14ac:dyDescent="0.3">
      <c r="A13" s="9">
        <v>8</v>
      </c>
      <c r="B13" s="10">
        <f t="shared" si="0"/>
        <v>85.8</v>
      </c>
      <c r="C13" s="10">
        <v>103</v>
      </c>
      <c r="D13" s="10">
        <v>5</v>
      </c>
    </row>
    <row r="14" spans="1:6" ht="14.25" customHeight="1" x14ac:dyDescent="0.3">
      <c r="A14" s="9">
        <v>9</v>
      </c>
      <c r="B14" s="10">
        <f t="shared" si="0"/>
        <v>78.649999999999991</v>
      </c>
      <c r="C14" s="10">
        <v>93</v>
      </c>
      <c r="D14" s="10">
        <v>10</v>
      </c>
    </row>
    <row r="15" spans="1:6" ht="14.25" customHeight="1" x14ac:dyDescent="0.3">
      <c r="A15" s="9">
        <v>10</v>
      </c>
      <c r="B15" s="10">
        <f t="shared" si="0"/>
        <v>71.5</v>
      </c>
      <c r="C15" s="10">
        <v>83</v>
      </c>
      <c r="D15" s="10">
        <v>10</v>
      </c>
    </row>
    <row r="16" spans="1:6" ht="14.25" customHeight="1" x14ac:dyDescent="0.3">
      <c r="A16" s="9">
        <v>11</v>
      </c>
      <c r="B16" s="10">
        <f t="shared" si="0"/>
        <v>64.349999999999994</v>
      </c>
      <c r="C16" s="10">
        <v>76</v>
      </c>
      <c r="D16" s="10">
        <v>7</v>
      </c>
    </row>
    <row r="17" spans="1:4" ht="14.25" customHeight="1" x14ac:dyDescent="0.3">
      <c r="A17" s="9">
        <v>12</v>
      </c>
      <c r="B17" s="10">
        <f t="shared" si="0"/>
        <v>57.199999999999989</v>
      </c>
      <c r="C17" s="10">
        <v>73</v>
      </c>
      <c r="D17" s="10">
        <v>3</v>
      </c>
    </row>
    <row r="18" spans="1:4" ht="14.25" customHeight="1" x14ac:dyDescent="0.3">
      <c r="A18" s="9">
        <v>13</v>
      </c>
      <c r="B18" s="10">
        <f t="shared" si="0"/>
        <v>50.05</v>
      </c>
      <c r="C18" s="10">
        <v>63</v>
      </c>
      <c r="D18" s="10">
        <v>10</v>
      </c>
    </row>
    <row r="19" spans="1:4" ht="14.25" customHeight="1" x14ac:dyDescent="0.3">
      <c r="A19" s="9">
        <v>14</v>
      </c>
      <c r="B19" s="10">
        <f t="shared" si="0"/>
        <v>42.899999999999991</v>
      </c>
      <c r="C19" s="10">
        <v>53</v>
      </c>
      <c r="D19" s="10">
        <v>10</v>
      </c>
    </row>
    <row r="20" spans="1:4" ht="14.25" customHeight="1" x14ac:dyDescent="0.3">
      <c r="A20" s="9">
        <v>15</v>
      </c>
      <c r="B20" s="10">
        <f t="shared" si="0"/>
        <v>35.75</v>
      </c>
      <c r="C20" s="10">
        <v>44</v>
      </c>
      <c r="D20" s="10">
        <v>9</v>
      </c>
    </row>
    <row r="21" spans="1:4" ht="14.25" customHeight="1" x14ac:dyDescent="0.3">
      <c r="A21" s="9">
        <v>16</v>
      </c>
      <c r="B21" s="10">
        <f t="shared" si="0"/>
        <v>28.599999999999994</v>
      </c>
      <c r="C21" s="10">
        <v>35</v>
      </c>
      <c r="D21" s="10">
        <v>9</v>
      </c>
    </row>
    <row r="22" spans="1:4" ht="14.25" customHeight="1" x14ac:dyDescent="0.3">
      <c r="A22" s="9">
        <v>17</v>
      </c>
      <c r="B22" s="10">
        <f t="shared" si="0"/>
        <v>21.449999999999989</v>
      </c>
      <c r="C22" s="10">
        <v>26</v>
      </c>
      <c r="D22" s="10">
        <v>9</v>
      </c>
    </row>
    <row r="23" spans="1:4" ht="14.25" customHeight="1" x14ac:dyDescent="0.3">
      <c r="A23" s="9">
        <v>18</v>
      </c>
      <c r="B23" s="10">
        <f t="shared" si="0"/>
        <v>14.299999999999983</v>
      </c>
      <c r="C23" s="10">
        <v>17</v>
      </c>
      <c r="D23" s="10">
        <v>9</v>
      </c>
    </row>
    <row r="24" spans="1:4" ht="14.25" customHeight="1" x14ac:dyDescent="0.3">
      <c r="A24" s="9">
        <v>19</v>
      </c>
      <c r="B24" s="10">
        <f t="shared" si="0"/>
        <v>7.1500000000000057</v>
      </c>
      <c r="C24" s="10">
        <v>8</v>
      </c>
      <c r="D24" s="10">
        <v>9</v>
      </c>
    </row>
    <row r="25" spans="1:4" ht="14.25" customHeight="1" x14ac:dyDescent="0.3">
      <c r="A25" s="9">
        <v>20</v>
      </c>
      <c r="B25" s="10">
        <f t="shared" si="0"/>
        <v>0</v>
      </c>
      <c r="C25" s="10">
        <v>0</v>
      </c>
      <c r="D25" s="10">
        <v>8</v>
      </c>
    </row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D1"/>
    <mergeCell ref="A2:D2"/>
    <mergeCell ref="E4:F4"/>
  </mergeCells>
  <pageMargins left="0.75" right="0.75" top="1" bottom="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4.44140625" defaultRowHeight="15" customHeight="1" x14ac:dyDescent="0.3"/>
  <cols>
    <col min="1" max="1" width="8.6640625" customWidth="1"/>
    <col min="2" max="3" width="28" customWidth="1"/>
    <col min="4" max="26" width="8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E1" s="2" t="s">
        <v>3</v>
      </c>
    </row>
    <row r="2" spans="1:5" ht="14.4" x14ac:dyDescent="0.3">
      <c r="A2" s="3">
        <f>'Burndown Chart'!A5</f>
        <v>0</v>
      </c>
      <c r="B2" s="4">
        <f>'Burndown Chart'!$F$1-'Burndown Chart'!B5</f>
        <v>0</v>
      </c>
      <c r="C2" s="4">
        <f>'Burndown Chart'!$F$1-'Burndown Chart'!C5</f>
        <v>0</v>
      </c>
    </row>
    <row r="3" spans="1:5" ht="14.4" x14ac:dyDescent="0.3">
      <c r="A3" s="3">
        <f>'Burndown Chart'!A6</f>
        <v>1</v>
      </c>
      <c r="B3" s="4">
        <f>'Burndown Chart'!$F$1-'Burndown Chart'!B6</f>
        <v>7.1500000000000057</v>
      </c>
      <c r="C3" s="4">
        <f>'Burndown Chart'!$F$1-'Burndown Chart'!C6</f>
        <v>4</v>
      </c>
    </row>
    <row r="4" spans="1:5" ht="14.4" x14ac:dyDescent="0.3">
      <c r="A4" s="3">
        <f>'Burndown Chart'!A7</f>
        <v>2</v>
      </c>
      <c r="B4" s="4">
        <f>'Burndown Chart'!$F$1-'Burndown Chart'!B7</f>
        <v>14.300000000000011</v>
      </c>
      <c r="C4" s="4">
        <f>'Burndown Chart'!$F$1-'Burndown Chart'!C7</f>
        <v>9</v>
      </c>
    </row>
    <row r="5" spans="1:5" ht="14.4" x14ac:dyDescent="0.3">
      <c r="A5" s="3">
        <f>'Burndown Chart'!A8</f>
        <v>3</v>
      </c>
      <c r="B5" s="4">
        <f>'Burndown Chart'!$F$1-'Burndown Chart'!B8</f>
        <v>21.450000000000003</v>
      </c>
      <c r="C5" s="4">
        <f>'Burndown Chart'!$F$1-'Burndown Chart'!C8</f>
        <v>15</v>
      </c>
    </row>
    <row r="6" spans="1:5" ht="14.4" x14ac:dyDescent="0.3">
      <c r="A6" s="3">
        <f>'Burndown Chart'!A9</f>
        <v>4</v>
      </c>
      <c r="B6" s="4">
        <f>'Burndown Chart'!$F$1-'Burndown Chart'!B9</f>
        <v>28.599999999999994</v>
      </c>
      <c r="C6" s="4">
        <f>'Burndown Chart'!$F$1-'Burndown Chart'!C9</f>
        <v>22</v>
      </c>
    </row>
    <row r="7" spans="1:5" ht="14.4" x14ac:dyDescent="0.3">
      <c r="A7" s="3">
        <f>'Burndown Chart'!A10</f>
        <v>5</v>
      </c>
      <c r="B7" s="4">
        <f>'Burndown Chart'!$F$1-'Burndown Chart'!B10</f>
        <v>35.75</v>
      </c>
      <c r="C7" s="4">
        <f>'Burndown Chart'!$F$1-'Burndown Chart'!C10</f>
        <v>30</v>
      </c>
    </row>
    <row r="8" spans="1:5" ht="14.4" x14ac:dyDescent="0.3">
      <c r="A8" s="3">
        <f>'Burndown Chart'!A11</f>
        <v>6</v>
      </c>
      <c r="B8" s="4">
        <f>'Burndown Chart'!$F$1-'Burndown Chart'!B11</f>
        <v>42.900000000000006</v>
      </c>
      <c r="C8" s="4">
        <f>'Burndown Chart'!$F$1-'Burndown Chart'!C11</f>
        <v>33</v>
      </c>
    </row>
    <row r="9" spans="1:5" ht="14.4" x14ac:dyDescent="0.3">
      <c r="A9" s="3">
        <f>'Burndown Chart'!A12</f>
        <v>7</v>
      </c>
      <c r="B9" s="4">
        <f>'Burndown Chart'!$F$1-'Burndown Chart'!B12</f>
        <v>50.050000000000011</v>
      </c>
      <c r="C9" s="4">
        <f>'Burndown Chart'!$F$1-'Burndown Chart'!C12</f>
        <v>35</v>
      </c>
    </row>
    <row r="10" spans="1:5" ht="14.4" x14ac:dyDescent="0.3">
      <c r="A10" s="3">
        <f>'Burndown Chart'!A13</f>
        <v>8</v>
      </c>
      <c r="B10" s="4">
        <f>'Burndown Chart'!$F$1-'Burndown Chart'!B13</f>
        <v>57.2</v>
      </c>
      <c r="C10" s="4">
        <f>'Burndown Chart'!$F$1-'Burndown Chart'!C13</f>
        <v>40</v>
      </c>
    </row>
    <row r="11" spans="1:5" ht="14.4" x14ac:dyDescent="0.3">
      <c r="A11" s="3">
        <f>'Burndown Chart'!A14</f>
        <v>9</v>
      </c>
      <c r="B11" s="4">
        <f>'Burndown Chart'!$F$1-'Burndown Chart'!B14</f>
        <v>64.350000000000009</v>
      </c>
      <c r="C11" s="4">
        <f>'Burndown Chart'!$F$1-'Burndown Chart'!C14</f>
        <v>50</v>
      </c>
    </row>
    <row r="12" spans="1:5" ht="14.4" x14ac:dyDescent="0.3">
      <c r="A12" s="3">
        <f>'Burndown Chart'!A15</f>
        <v>10</v>
      </c>
      <c r="B12" s="4">
        <f>'Burndown Chart'!$F$1-'Burndown Chart'!B15</f>
        <v>71.5</v>
      </c>
      <c r="C12" s="4">
        <f>'Burndown Chart'!$F$1-'Burndown Chart'!C15</f>
        <v>60</v>
      </c>
    </row>
    <row r="13" spans="1:5" ht="14.4" x14ac:dyDescent="0.3">
      <c r="A13" s="3">
        <f>'Burndown Chart'!A16</f>
        <v>11</v>
      </c>
      <c r="B13" s="4">
        <f>'Burndown Chart'!$F$1-'Burndown Chart'!B16</f>
        <v>78.650000000000006</v>
      </c>
      <c r="C13" s="4">
        <f>'Burndown Chart'!$F$1-'Burndown Chart'!C16</f>
        <v>67</v>
      </c>
    </row>
    <row r="14" spans="1:5" ht="14.4" x14ac:dyDescent="0.3">
      <c r="A14" s="3">
        <f>'Burndown Chart'!A17</f>
        <v>12</v>
      </c>
      <c r="B14" s="4">
        <f>'Burndown Chart'!$F$1-'Burndown Chart'!B17</f>
        <v>85.800000000000011</v>
      </c>
      <c r="C14" s="4">
        <f>'Burndown Chart'!$F$1-'Burndown Chart'!C17</f>
        <v>70</v>
      </c>
    </row>
    <row r="15" spans="1:5" ht="14.4" x14ac:dyDescent="0.3">
      <c r="A15" s="3">
        <f>'Burndown Chart'!A18</f>
        <v>13</v>
      </c>
      <c r="B15" s="4">
        <f>'Burndown Chart'!$F$1-'Burndown Chart'!B18</f>
        <v>92.95</v>
      </c>
      <c r="C15" s="4">
        <f>'Burndown Chart'!$F$1-'Burndown Chart'!C18</f>
        <v>80</v>
      </c>
    </row>
    <row r="16" spans="1:5" ht="14.4" x14ac:dyDescent="0.3">
      <c r="A16" s="3">
        <f>'Burndown Chart'!A19</f>
        <v>14</v>
      </c>
      <c r="B16" s="4">
        <f>'Burndown Chart'!$F$1-'Burndown Chart'!B19</f>
        <v>100.10000000000001</v>
      </c>
      <c r="C16" s="4">
        <f>'Burndown Chart'!$F$1-'Burndown Chart'!C19</f>
        <v>90</v>
      </c>
    </row>
    <row r="17" spans="1:3" ht="14.4" x14ac:dyDescent="0.3">
      <c r="A17" s="3">
        <f>'Burndown Chart'!A20</f>
        <v>15</v>
      </c>
      <c r="B17" s="4">
        <f>'Burndown Chart'!$F$1-'Burndown Chart'!B20</f>
        <v>107.25</v>
      </c>
      <c r="C17" s="4">
        <f>'Burndown Chart'!$F$1-'Burndown Chart'!C20</f>
        <v>99</v>
      </c>
    </row>
    <row r="18" spans="1:3" ht="14.4" x14ac:dyDescent="0.3">
      <c r="A18" s="3">
        <f>'Burndown Chart'!A21</f>
        <v>16</v>
      </c>
      <c r="B18" s="4">
        <f>'Burndown Chart'!$F$1-'Burndown Chart'!B21</f>
        <v>114.4</v>
      </c>
      <c r="C18" s="4">
        <f>'Burndown Chart'!$F$1-'Burndown Chart'!C21</f>
        <v>108</v>
      </c>
    </row>
    <row r="19" spans="1:3" ht="14.4" x14ac:dyDescent="0.3">
      <c r="A19" s="3">
        <f>'Burndown Chart'!A22</f>
        <v>17</v>
      </c>
      <c r="B19" s="4">
        <f>'Burndown Chart'!$F$1-'Burndown Chart'!B22</f>
        <v>121.55000000000001</v>
      </c>
      <c r="C19" s="4">
        <f>'Burndown Chart'!$F$1-'Burndown Chart'!C22</f>
        <v>117</v>
      </c>
    </row>
    <row r="20" spans="1:3" ht="14.4" x14ac:dyDescent="0.3">
      <c r="A20" s="3">
        <f>'Burndown Chart'!A23</f>
        <v>18</v>
      </c>
      <c r="B20" s="4">
        <f>'Burndown Chart'!$F$1-'Burndown Chart'!B23</f>
        <v>128.70000000000002</v>
      </c>
      <c r="C20" s="4">
        <f>'Burndown Chart'!$F$1-'Burndown Chart'!C23</f>
        <v>126</v>
      </c>
    </row>
    <row r="21" spans="1:3" ht="15.75" customHeight="1" x14ac:dyDescent="0.3">
      <c r="A21" s="3">
        <f>'Burndown Chart'!A24</f>
        <v>19</v>
      </c>
      <c r="B21" s="4">
        <f>'Burndown Chart'!$F$1-'Burndown Chart'!B24</f>
        <v>135.85</v>
      </c>
      <c r="C21" s="4">
        <f>'Burndown Chart'!$F$1-'Burndown Chart'!C24</f>
        <v>135</v>
      </c>
    </row>
    <row r="22" spans="1:3" ht="15.75" customHeight="1" x14ac:dyDescent="0.3">
      <c r="A22" s="3">
        <f>'Burndown Chart'!A25</f>
        <v>20</v>
      </c>
      <c r="B22" s="4">
        <f>'Burndown Chart'!$F$1-'Burndown Chart'!B25</f>
        <v>143</v>
      </c>
      <c r="C22" s="4">
        <f>'Burndown Chart'!$F$1-'Burndown Chart'!C25</f>
        <v>143</v>
      </c>
    </row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Burndown Chart</vt:lpstr>
      <vt:lpstr>Datos_grafico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Fabián Ignacio Bugueño Pardo</cp:lastModifiedBy>
  <dcterms:created xsi:type="dcterms:W3CDTF">2026-09-22T14:19:26Z</dcterms:created>
  <dcterms:modified xsi:type="dcterms:W3CDTF">2026-10-19T14:36:18Z</dcterms:modified>
</cp:coreProperties>
</file>