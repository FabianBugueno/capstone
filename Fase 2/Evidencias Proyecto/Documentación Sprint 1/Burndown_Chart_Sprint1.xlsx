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" sheetId="1" r:id="rId4"/>
    <sheet state="hidden" name="Datos_grafico" sheetId="2" r:id="rId5"/>
  </sheets>
  <definedNames/>
  <calcPr/>
  <extLst>
    <ext uri="GoogleSheetsCustomDataVersion2">
      <go:sheetsCustomData xmlns:go="http://customooxmlschemas.google.com/" r:id="rId6" roundtripDataChecksum="cT5DJ7MX88wQlvgVaj/S5NI1GQrjxWhBRerZ1gk8Kgc="/>
    </ext>
  </extLst>
</workbook>
</file>

<file path=xl/sharedStrings.xml><?xml version="1.0" encoding="utf-8"?>
<sst xmlns="http://schemas.openxmlformats.org/spreadsheetml/2006/main" count="12" uniqueCount="11">
  <si>
    <t>Día</t>
  </si>
  <si>
    <t>Horas Completadas (Ideal)</t>
  </si>
  <si>
    <t>Horas Completadas (Real)</t>
  </si>
  <si>
    <t>Hoja auxiliar del gráfico: horas completadas = horas totales - horas restantes (se calcula desde la hoja principal).</t>
  </si>
  <si>
    <t>Burndown Chart - Sprint 1 (Power Guardian Pro MVP)</t>
  </si>
  <si>
    <t>Horas totales estimadas (input):</t>
  </si>
  <si>
    <t>Equipo: Cristóbal Mena, Francisco Neira, Fabián Bugueño | Duración: 4 semanas (Semanas 4-7, cronograma ajustado)</t>
  </si>
  <si>
    <t>Duración del sprint en días hábiles (input):</t>
  </si>
  <si>
    <t>Horas Restantes (Ideal)</t>
  </si>
  <si>
    <t>Horas Restantes (Real)</t>
  </si>
  <si>
    <t>Horas Consumidas (Real, diario)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</si>
</sst>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Arial"/>
    </font>
    <font>
      <i/>
      <sz val="9.0"/>
      <color theme="1"/>
      <name val="Arial"/>
    </font>
    <font>
      <sz val="9.0"/>
      <color rgb="FF0000FF"/>
      <name val="Arial"/>
    </font>
    <font>
      <i/>
      <sz val="10.0"/>
      <color theme="1"/>
      <name val="Arial"/>
    </font>
    <font>
      <i/>
      <sz val="8.0"/>
      <color rgb="FF808080"/>
      <name val="Arial"/>
    </font>
    <font>
      <b/>
      <sz val="11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3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3" numFmtId="164" xfId="0" applyFont="1" applyNumberFormat="1"/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1"/>
    </xf>
    <xf borderId="0" fillId="0" fontId="8" numFmtId="0" xfId="0" applyAlignment="1" applyFont="1">
      <alignment shrinkToFit="0" vertical="bottom" wrapText="0"/>
    </xf>
    <xf borderId="1" fillId="2" fontId="9" numFmtId="0" xfId="0" applyAlignment="1" applyBorder="1" applyFill="1" applyFont="1">
      <alignment horizontal="center" shrinkToFit="0" vertical="bottom" wrapText="1"/>
    </xf>
    <xf borderId="0" fillId="0" fontId="8" numFmtId="0" xfId="0" applyAlignment="1" applyFont="1">
      <alignment shrinkToFit="0" vertical="top" wrapText="1"/>
    </xf>
    <xf borderId="2" fillId="0" fontId="2" numFmtId="0" xfId="0" applyAlignment="1" applyBorder="1" applyFont="1">
      <alignment horizontal="center" shrinkToFit="0" vertical="bottom" wrapText="0"/>
    </xf>
    <xf borderId="2" fillId="0" fontId="2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- Sprint 1 (4 semanas)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Completadas (Ideal)</c:v>
          </c:tx>
          <c:spPr>
            <a:ln cmpd="sng" w="19050">
              <a:solidFill>
                <a:srgbClr val="7F7F7F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Datos_grafico!$A$2:$A$22</c:f>
            </c:strRef>
          </c:cat>
          <c:val>
            <c:numRef>
              <c:f>Datos_grafico!$B$2:$B$22</c:f>
              <c:numCache/>
            </c:numRef>
          </c:val>
          <c:smooth val="0"/>
        </c:ser>
        <c:ser>
          <c:idx val="1"/>
          <c:order val="1"/>
          <c:tx>
            <c:v>Horas Completadas (Real)</c:v>
          </c:tx>
          <c:spPr>
            <a:ln cmpd="sng" w="19050">
              <a:solidFill>
                <a:srgbClr val="2E8B57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E8B57">
                  <a:alpha val="100000"/>
                </a:srgbClr>
              </a:solidFill>
              <a:ln cmpd="sng">
                <a:solidFill>
                  <a:srgbClr val="2E8B57">
                    <a:alpha val="100000"/>
                  </a:srgbClr>
                </a:solidFill>
              </a:ln>
            </c:spPr>
          </c:marker>
          <c:cat>
            <c:strRef>
              <c:f>Datos_grafico!$A$2:$A$22</c:f>
            </c:strRef>
          </c:cat>
          <c:val>
            <c:numRef>
              <c:f>Datos_grafico!$C$2:$C$22</c:f>
              <c:numCache/>
            </c:numRef>
          </c:val>
          <c:smooth val="0"/>
        </c:ser>
        <c:axId val="1726949612"/>
        <c:axId val="1720760910"/>
      </c:lineChart>
      <c:catAx>
        <c:axId val="1726949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20760910"/>
      </c:catAx>
      <c:valAx>
        <c:axId val="1720760910"/>
        <c:scaling>
          <c:orientation val="minMax"/>
          <c:max val="1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completadas (acumuladas)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2694961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7772400" cy="4133850"/>
    <xdr:graphicFrame>
      <xdr:nvGraphicFramePr>
        <xdr:cNvPr id="28697853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20.0"/>
    <col customWidth="1" min="4" max="4" width="33.43"/>
    <col customWidth="1" min="5" max="5" width="32.0"/>
    <col customWidth="1" min="6" max="6" width="10.0"/>
  </cols>
  <sheetData>
    <row r="1" ht="14.25" customHeight="1">
      <c r="A1" s="5" t="s">
        <v>4</v>
      </c>
      <c r="E1" s="6" t="s">
        <v>5</v>
      </c>
      <c r="F1" s="7">
        <v>110.0</v>
      </c>
    </row>
    <row r="2" ht="14.25" customHeight="1">
      <c r="A2" s="8" t="s">
        <v>6</v>
      </c>
      <c r="E2" s="6" t="s">
        <v>7</v>
      </c>
      <c r="F2" s="7">
        <v>20.0</v>
      </c>
    </row>
    <row r="3" ht="14.25" customHeight="1">
      <c r="E3" s="9"/>
    </row>
    <row r="4" ht="30.0" customHeight="1">
      <c r="A4" s="10" t="s">
        <v>0</v>
      </c>
      <c r="B4" s="10" t="s">
        <v>8</v>
      </c>
      <c r="C4" s="10" t="s">
        <v>9</v>
      </c>
      <c r="D4" s="10" t="s">
        <v>10</v>
      </c>
      <c r="E4" s="11"/>
    </row>
    <row r="5" ht="14.25" customHeight="1">
      <c r="A5" s="12">
        <v>0.0</v>
      </c>
      <c r="B5" s="13">
        <f t="shared" ref="B5:B25" si="1">$F$1-($F$1/$F$2)*A5</f>
        <v>110</v>
      </c>
      <c r="C5" s="13">
        <v>110.0</v>
      </c>
      <c r="D5" s="13">
        <v>0.0</v>
      </c>
    </row>
    <row r="6" ht="14.25" customHeight="1">
      <c r="A6" s="12">
        <v>1.0</v>
      </c>
      <c r="B6" s="13">
        <f t="shared" si="1"/>
        <v>104.5</v>
      </c>
      <c r="C6" s="13">
        <v>101.0</v>
      </c>
      <c r="D6" s="13">
        <v>9.0</v>
      </c>
    </row>
    <row r="7" ht="14.25" customHeight="1">
      <c r="A7" s="12">
        <v>2.0</v>
      </c>
      <c r="B7" s="13">
        <f t="shared" si="1"/>
        <v>99</v>
      </c>
      <c r="C7" s="13">
        <v>92.0</v>
      </c>
      <c r="D7" s="13">
        <v>9.0</v>
      </c>
    </row>
    <row r="8" ht="14.25" customHeight="1">
      <c r="A8" s="12">
        <v>3.0</v>
      </c>
      <c r="B8" s="13">
        <f t="shared" si="1"/>
        <v>93.5</v>
      </c>
      <c r="C8" s="13">
        <v>83.0</v>
      </c>
      <c r="D8" s="13">
        <v>9.0</v>
      </c>
    </row>
    <row r="9" ht="14.25" customHeight="1">
      <c r="A9" s="12">
        <v>4.0</v>
      </c>
      <c r="B9" s="13">
        <f t="shared" si="1"/>
        <v>88</v>
      </c>
      <c r="C9" s="13">
        <v>74.0</v>
      </c>
      <c r="D9" s="13">
        <v>9.0</v>
      </c>
    </row>
    <row r="10" ht="14.25" customHeight="1">
      <c r="A10" s="12">
        <v>5.0</v>
      </c>
      <c r="B10" s="13">
        <f t="shared" si="1"/>
        <v>82.5</v>
      </c>
      <c r="C10" s="13">
        <v>65.0</v>
      </c>
      <c r="D10" s="13">
        <v>9.0</v>
      </c>
    </row>
    <row r="11" ht="14.25" customHeight="1">
      <c r="A11" s="12">
        <v>6.0</v>
      </c>
      <c r="B11" s="13">
        <f t="shared" si="1"/>
        <v>77</v>
      </c>
      <c r="C11" s="13">
        <v>56.0</v>
      </c>
      <c r="D11" s="13">
        <v>9.0</v>
      </c>
    </row>
    <row r="12" ht="14.25" customHeight="1">
      <c r="A12" s="12">
        <v>7.0</v>
      </c>
      <c r="B12" s="13">
        <f t="shared" si="1"/>
        <v>71.5</v>
      </c>
      <c r="C12" s="13">
        <v>47.0</v>
      </c>
      <c r="D12" s="13">
        <v>9.0</v>
      </c>
    </row>
    <row r="13" ht="14.25" customHeight="1">
      <c r="A13" s="12">
        <v>8.0</v>
      </c>
      <c r="B13" s="13">
        <f t="shared" si="1"/>
        <v>66</v>
      </c>
      <c r="C13" s="13">
        <v>38.0</v>
      </c>
      <c r="D13" s="13">
        <v>9.0</v>
      </c>
    </row>
    <row r="14" ht="14.25" customHeight="1">
      <c r="A14" s="12">
        <v>9.0</v>
      </c>
      <c r="B14" s="13">
        <f t="shared" si="1"/>
        <v>60.5</v>
      </c>
      <c r="C14" s="13">
        <v>29.0</v>
      </c>
      <c r="D14" s="13">
        <v>9.0</v>
      </c>
    </row>
    <row r="15" ht="14.25" customHeight="1">
      <c r="A15" s="12">
        <v>10.0</v>
      </c>
      <c r="B15" s="13">
        <f t="shared" si="1"/>
        <v>55</v>
      </c>
      <c r="C15" s="13">
        <v>20.0</v>
      </c>
      <c r="D15" s="13">
        <v>9.0</v>
      </c>
    </row>
    <row r="16" ht="14.25" customHeight="1">
      <c r="A16" s="12">
        <v>11.0</v>
      </c>
      <c r="B16" s="13">
        <f t="shared" si="1"/>
        <v>49.5</v>
      </c>
      <c r="C16" s="13">
        <v>12.0</v>
      </c>
      <c r="D16" s="13">
        <v>8.0</v>
      </c>
    </row>
    <row r="17" ht="14.25" customHeight="1">
      <c r="A17" s="12">
        <v>12.0</v>
      </c>
      <c r="B17" s="13">
        <f t="shared" si="1"/>
        <v>44</v>
      </c>
      <c r="C17" s="13">
        <v>6.0</v>
      </c>
      <c r="D17" s="13">
        <v>6.0</v>
      </c>
    </row>
    <row r="18" ht="14.25" customHeight="1">
      <c r="A18" s="12">
        <v>13.0</v>
      </c>
      <c r="B18" s="13">
        <f t="shared" si="1"/>
        <v>38.5</v>
      </c>
      <c r="C18" s="13">
        <v>1.0</v>
      </c>
      <c r="D18" s="13">
        <v>5.0</v>
      </c>
    </row>
    <row r="19" ht="14.25" customHeight="1">
      <c r="A19" s="12">
        <v>14.0</v>
      </c>
      <c r="B19" s="13">
        <f t="shared" si="1"/>
        <v>33</v>
      </c>
      <c r="C19" s="13">
        <v>0.0</v>
      </c>
      <c r="D19" s="13">
        <v>1.0</v>
      </c>
    </row>
    <row r="20" ht="14.25" customHeight="1">
      <c r="A20" s="12">
        <v>15.0</v>
      </c>
      <c r="B20" s="13">
        <f t="shared" si="1"/>
        <v>27.5</v>
      </c>
      <c r="C20" s="13">
        <v>0.0</v>
      </c>
      <c r="D20" s="13">
        <v>0.0</v>
      </c>
    </row>
    <row r="21" ht="14.25" customHeight="1">
      <c r="A21" s="12">
        <v>16.0</v>
      </c>
      <c r="B21" s="13">
        <f t="shared" si="1"/>
        <v>22</v>
      </c>
      <c r="C21" s="13">
        <v>0.0</v>
      </c>
      <c r="D21" s="13">
        <v>0.0</v>
      </c>
    </row>
    <row r="22" ht="14.25" customHeight="1">
      <c r="A22" s="12">
        <v>17.0</v>
      </c>
      <c r="B22" s="13">
        <f t="shared" si="1"/>
        <v>16.5</v>
      </c>
      <c r="C22" s="13">
        <v>0.0</v>
      </c>
      <c r="D22" s="13">
        <v>0.0</v>
      </c>
    </row>
    <row r="23" ht="14.25" customHeight="1">
      <c r="A23" s="12">
        <v>18.0</v>
      </c>
      <c r="B23" s="13">
        <f t="shared" si="1"/>
        <v>11</v>
      </c>
      <c r="C23" s="13">
        <v>0.0</v>
      </c>
      <c r="D23" s="13">
        <v>0.0</v>
      </c>
    </row>
    <row r="24" ht="14.25" customHeight="1">
      <c r="A24" s="12">
        <v>19.0</v>
      </c>
      <c r="B24" s="13">
        <f t="shared" si="1"/>
        <v>5.5</v>
      </c>
      <c r="C24" s="13">
        <v>0.0</v>
      </c>
      <c r="D24" s="13">
        <v>0.0</v>
      </c>
    </row>
    <row r="25" ht="14.25" customHeight="1">
      <c r="A25" s="12">
        <v>20.0</v>
      </c>
      <c r="B25" s="13">
        <f t="shared" si="1"/>
        <v>0</v>
      </c>
      <c r="C25" s="13">
        <v>0.0</v>
      </c>
      <c r="D25" s="13">
        <v>0.0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E4:F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8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3">
        <f>'Burndown Chart'!A5</f>
        <v>0</v>
      </c>
      <c r="B2" s="4">
        <f>'Burndown Chart'!$F$1-'Burndown Chart'!B5</f>
        <v>0</v>
      </c>
      <c r="C2" s="4">
        <f>'Burndown Chart'!$F$1-'Burndown Chart'!C5</f>
        <v>0</v>
      </c>
    </row>
    <row r="3">
      <c r="A3" s="3">
        <f>'Burndown Chart'!A6</f>
        <v>1</v>
      </c>
      <c r="B3" s="4">
        <f>'Burndown Chart'!$F$1-'Burndown Chart'!B6</f>
        <v>5.5</v>
      </c>
      <c r="C3" s="4">
        <f>'Burndown Chart'!$F$1-'Burndown Chart'!C6</f>
        <v>9</v>
      </c>
    </row>
    <row r="4">
      <c r="A4" s="3">
        <f>'Burndown Chart'!A7</f>
        <v>2</v>
      </c>
      <c r="B4" s="4">
        <f>'Burndown Chart'!$F$1-'Burndown Chart'!B7</f>
        <v>11</v>
      </c>
      <c r="C4" s="4">
        <f>'Burndown Chart'!$F$1-'Burndown Chart'!C7</f>
        <v>18</v>
      </c>
    </row>
    <row r="5">
      <c r="A5" s="3">
        <f>'Burndown Chart'!A8</f>
        <v>3</v>
      </c>
      <c r="B5" s="4">
        <f>'Burndown Chart'!$F$1-'Burndown Chart'!B8</f>
        <v>16.5</v>
      </c>
      <c r="C5" s="4">
        <f>'Burndown Chart'!$F$1-'Burndown Chart'!C8</f>
        <v>27</v>
      </c>
    </row>
    <row r="6">
      <c r="A6" s="3">
        <f>'Burndown Chart'!A9</f>
        <v>4</v>
      </c>
      <c r="B6" s="4">
        <f>'Burndown Chart'!$F$1-'Burndown Chart'!B9</f>
        <v>22</v>
      </c>
      <c r="C6" s="4">
        <f>'Burndown Chart'!$F$1-'Burndown Chart'!C9</f>
        <v>36</v>
      </c>
    </row>
    <row r="7">
      <c r="A7" s="3">
        <f>'Burndown Chart'!A10</f>
        <v>5</v>
      </c>
      <c r="B7" s="4">
        <f>'Burndown Chart'!$F$1-'Burndown Chart'!B10</f>
        <v>27.5</v>
      </c>
      <c r="C7" s="4">
        <f>'Burndown Chart'!$F$1-'Burndown Chart'!C10</f>
        <v>45</v>
      </c>
    </row>
    <row r="8">
      <c r="A8" s="3">
        <f>'Burndown Chart'!A11</f>
        <v>6</v>
      </c>
      <c r="B8" s="4">
        <f>'Burndown Chart'!$F$1-'Burndown Chart'!B11</f>
        <v>33</v>
      </c>
      <c r="C8" s="4">
        <f>'Burndown Chart'!$F$1-'Burndown Chart'!C11</f>
        <v>54</v>
      </c>
    </row>
    <row r="9">
      <c r="A9" s="3">
        <f>'Burndown Chart'!A12</f>
        <v>7</v>
      </c>
      <c r="B9" s="4">
        <f>'Burndown Chart'!$F$1-'Burndown Chart'!B12</f>
        <v>38.5</v>
      </c>
      <c r="C9" s="4">
        <f>'Burndown Chart'!$F$1-'Burndown Chart'!C12</f>
        <v>63</v>
      </c>
    </row>
    <row r="10">
      <c r="A10" s="3">
        <f>'Burndown Chart'!A13</f>
        <v>8</v>
      </c>
      <c r="B10" s="4">
        <f>'Burndown Chart'!$F$1-'Burndown Chart'!B13</f>
        <v>44</v>
      </c>
      <c r="C10" s="4">
        <f>'Burndown Chart'!$F$1-'Burndown Chart'!C13</f>
        <v>72</v>
      </c>
    </row>
    <row r="11">
      <c r="A11" s="3">
        <f>'Burndown Chart'!A14</f>
        <v>9</v>
      </c>
      <c r="B11" s="4">
        <f>'Burndown Chart'!$F$1-'Burndown Chart'!B14</f>
        <v>49.5</v>
      </c>
      <c r="C11" s="4">
        <f>'Burndown Chart'!$F$1-'Burndown Chart'!C14</f>
        <v>81</v>
      </c>
    </row>
    <row r="12">
      <c r="A12" s="3">
        <f>'Burndown Chart'!A15</f>
        <v>10</v>
      </c>
      <c r="B12" s="4">
        <f>'Burndown Chart'!$F$1-'Burndown Chart'!B15</f>
        <v>55</v>
      </c>
      <c r="C12" s="4">
        <f>'Burndown Chart'!$F$1-'Burndown Chart'!C15</f>
        <v>90</v>
      </c>
    </row>
    <row r="13">
      <c r="A13" s="3">
        <f>'Burndown Chart'!A16</f>
        <v>11</v>
      </c>
      <c r="B13" s="4">
        <f>'Burndown Chart'!$F$1-'Burndown Chart'!B16</f>
        <v>60.5</v>
      </c>
      <c r="C13" s="4">
        <f>'Burndown Chart'!$F$1-'Burndown Chart'!C16</f>
        <v>98</v>
      </c>
    </row>
    <row r="14">
      <c r="A14" s="3">
        <f>'Burndown Chart'!A17</f>
        <v>12</v>
      </c>
      <c r="B14" s="4">
        <f>'Burndown Chart'!$F$1-'Burndown Chart'!B17</f>
        <v>66</v>
      </c>
      <c r="C14" s="4">
        <f>'Burndown Chart'!$F$1-'Burndown Chart'!C17</f>
        <v>104</v>
      </c>
    </row>
    <row r="15">
      <c r="A15" s="3">
        <f>'Burndown Chart'!A18</f>
        <v>13</v>
      </c>
      <c r="B15" s="4">
        <f>'Burndown Chart'!$F$1-'Burndown Chart'!B18</f>
        <v>71.5</v>
      </c>
      <c r="C15" s="4">
        <f>'Burndown Chart'!$F$1-'Burndown Chart'!C18</f>
        <v>109</v>
      </c>
    </row>
    <row r="16">
      <c r="A16" s="3">
        <f>'Burndown Chart'!A19</f>
        <v>14</v>
      </c>
      <c r="B16" s="4">
        <f>'Burndown Chart'!$F$1-'Burndown Chart'!B19</f>
        <v>77</v>
      </c>
      <c r="C16" s="4">
        <f>'Burndown Chart'!$F$1-'Burndown Chart'!C19</f>
        <v>110</v>
      </c>
    </row>
    <row r="17">
      <c r="A17" s="3">
        <f>'Burndown Chart'!A20</f>
        <v>15</v>
      </c>
      <c r="B17" s="4">
        <f>'Burndown Chart'!$F$1-'Burndown Chart'!B20</f>
        <v>82.5</v>
      </c>
      <c r="C17" s="4">
        <f>'Burndown Chart'!$F$1-'Burndown Chart'!C20</f>
        <v>110</v>
      </c>
    </row>
    <row r="18">
      <c r="A18" s="3">
        <f>'Burndown Chart'!A21</f>
        <v>16</v>
      </c>
      <c r="B18" s="4">
        <f>'Burndown Chart'!$F$1-'Burndown Chart'!B21</f>
        <v>88</v>
      </c>
      <c r="C18" s="4">
        <f>'Burndown Chart'!$F$1-'Burndown Chart'!C21</f>
        <v>110</v>
      </c>
    </row>
    <row r="19">
      <c r="A19" s="3">
        <f>'Burndown Chart'!A22</f>
        <v>17</v>
      </c>
      <c r="B19" s="4">
        <f>'Burndown Chart'!$F$1-'Burndown Chart'!B22</f>
        <v>93.5</v>
      </c>
      <c r="C19" s="4">
        <f>'Burndown Chart'!$F$1-'Burndown Chart'!C22</f>
        <v>110</v>
      </c>
    </row>
    <row r="20">
      <c r="A20" s="3">
        <f>'Burndown Chart'!A23</f>
        <v>18</v>
      </c>
      <c r="B20" s="4">
        <f>'Burndown Chart'!$F$1-'Burndown Chart'!B23</f>
        <v>99</v>
      </c>
      <c r="C20" s="4">
        <f>'Burndown Chart'!$F$1-'Burndown Chart'!C23</f>
        <v>110</v>
      </c>
    </row>
    <row r="21" ht="15.75" customHeight="1">
      <c r="A21" s="3">
        <f>'Burndown Chart'!A24</f>
        <v>19</v>
      </c>
      <c r="B21" s="4">
        <f>'Burndown Chart'!$F$1-'Burndown Chart'!B24</f>
        <v>104.5</v>
      </c>
      <c r="C21" s="4">
        <f>'Burndown Chart'!$F$1-'Burndown Chart'!C24</f>
        <v>110</v>
      </c>
    </row>
    <row r="22" ht="15.75" customHeight="1">
      <c r="A22" s="3">
        <f>'Burndown Chart'!A25</f>
        <v>20</v>
      </c>
      <c r="B22" s="4">
        <f>'Burndown Chart'!$F$1-'Burndown Chart'!B25</f>
        <v>110</v>
      </c>
      <c r="C22" s="4">
        <f>'Burndown Chart'!$F$1-'Burndown Chart'!C25</f>
        <v>110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2026-09-22T14:19:26Z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